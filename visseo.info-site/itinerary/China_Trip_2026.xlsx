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inerary" sheetId="1" state="visible" r:id="rId3"/>
    <sheet name="Hotels &amp; Budget" sheetId="2" state="visible" r:id="rId4"/>
    <sheet name="Transport" sheetId="3" state="visible" r:id="rId5"/>
  </sheets>
  <definedNames>
    <definedName function="false" hidden="false" localSheetId="0" name="_xlnm.Print_Titles" vbProcedure="false">Itinerary!$5:$5</definedName>
    <definedName function="false" hidden="true" localSheetId="0" name="_xlnm._FilterDatabase" vbProcedure="false">Itinerary!$A$5:$I$30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<sst xmlns="http://schemas.openxmlformats.org/spreadsheetml/2006/main" count="293" uniqueCount="210">
  <si>
    <t xml:space="preserve">China &amp; Hong Kong 2026</t>
  </si>
  <si>
    <t xml:space="preserve">30 Oct – 23 Nov 2026  ·  25 days  ·  via Beijing  ·  Shenzhen → Hong Kong → Guangzhou → Zhangjiajie → Chongqing → Chengdu → Chongqing  ·  all by train</t>
  </si>
  <si>
    <t xml:space="preserve">Date</t>
  </si>
  <si>
    <t xml:space="preserve">Day</t>
  </si>
  <si>
    <t xml:space="preserve">City</t>
  </si>
  <si>
    <t xml:space="preserve">Plan for the day</t>
  </si>
  <si>
    <t xml:space="preserve">Hotel</t>
  </si>
  <si>
    <t xml:space="preserve">Food 🥢</t>
  </si>
  <si>
    <t xml:space="preserve">Outdoor / Hike 🥾</t>
  </si>
  <si>
    <t xml:space="preserve">Culture &amp; Sights 🏯</t>
  </si>
  <si>
    <t xml:space="preserve">Evening 🌆</t>
  </si>
  <si>
    <t xml:space="preserve">Fri</t>
  </si>
  <si>
    <t xml:space="preserve">✈️ Flight</t>
  </si>
  <si>
    <t xml:space="preserve">Flight HU492 Brussels (BRU) 12:20 → Beijing (PEK, T2) 04:40 next morning
Overnight flight</t>
  </si>
  <si>
    <t xml:space="preserve">—</t>
  </si>
  <si>
    <t xml:space="preserve">In-flight meals</t>
  </si>
  <si>
    <t xml:space="preserve">Sat</t>
  </si>
  <si>
    <t xml:space="preserve">Shenzhen</t>
  </si>
  <si>
    <t xml:space="preserve">Flight HU7701 Beijing (PEK, T2) 08:30 → Shenzhen (SZX, T3) 11:55 – immigration &amp; customs happen in Beijing. Hotel ≈13:00 (≈25 min), then Futian (≈35 min): Huaqiangbei to buy the camera, Lianhuashan Park nearby, evening in Futian.</t>
  </si>
  <si>
    <t xml:space="preserve">Pagoda SSAW</t>
  </si>
  <si>
    <t xml:space="preserve">Chaozhou Beef Hotpot (Freshly hand-sliced beef blanched in a savory clear broth)</t>
  </si>
  <si>
    <r>
      <rPr>
        <sz val="9.5"/>
        <color rgb="FF1B2631"/>
        <rFont val="Arial"/>
        <family val="0"/>
        <charset val="1"/>
      </rPr>
      <t xml:space="preserve">Hike: Lianhuashan Park </t>
    </r>
    <r>
      <rPr>
        <sz val="9.5"/>
        <color rgb="FF1B2631"/>
        <rFont val="Noto Sans CJK SC"/>
        <family val="2"/>
      </rPr>
      <t xml:space="preserve">莲花山 </t>
    </r>
    <r>
      <rPr>
        <sz val="9.5"/>
        <color rgb="FF1B2631"/>
        <rFont val="Arial"/>
        <family val="0"/>
        <charset val="1"/>
      </rPr>
      <t xml:space="preserve">(Short urban summit with the classic Futian skyline view)</t>
    </r>
  </si>
  <si>
    <r>
      <rPr>
        <sz val="9.5"/>
        <color rgb="FF1B2631"/>
        <rFont val="Arial"/>
        <family val="0"/>
        <charset val="1"/>
      </rPr>
      <t xml:space="preserve">📷 Camera shopping: Huaqiang Electronic World </t>
    </r>
    <r>
      <rPr>
        <sz val="9.5"/>
        <color rgb="FF1B2631"/>
        <rFont val="Noto Sans CJK SC"/>
        <family val="2"/>
      </rPr>
      <t xml:space="preserve">华强电子世界 </t>
    </r>
    <r>
      <rPr>
        <sz val="9.5"/>
        <color rgb="FF1B2631"/>
        <rFont val="Arial"/>
        <family val="0"/>
        <charset val="1"/>
      </rPr>
      <t xml:space="preserve">(Huaqiangbei electronics market, ≈2 km from Lianhuashan) – compare prices across several stalls before buying</t>
    </r>
  </si>
  <si>
    <t xml:space="preserve">Premium craft gins at a hidden speakeasy bar in Futian</t>
  </si>
  <si>
    <t xml:space="preserve">Sun</t>
  </si>
  <si>
    <t xml:space="preserve">Nanshan coast day: Shenzhen Bay Park coastal trail in the morning, OCT-LOFT art zone in the afternoon/evening.</t>
  </si>
  <si>
    <t xml:space="preserve">Chaoshan-style seafood dinner around OCT / Shenzhen Bay (razor clams &amp; marinated goose)</t>
  </si>
  <si>
    <t xml:space="preserve">Hike: Shenzhen Bay Park coastal trail (seaside path looking right over towards Hong Kong)</t>
  </si>
  <si>
    <t xml:space="preserve">Wander the indie galleries and graffiti alleys of the OCT-LOFT creative art zone</t>
  </si>
  <si>
    <t xml:space="preserve">Grab local craft beers inside the industrial-chic warehouses of OCT-LOFT</t>
  </si>
  <si>
    <t xml:space="preserve">Mon</t>
  </si>
  <si>
    <t xml:space="preserve">Easy day around the hotel in Nanshan / Nantou – everything within ~3 km. Test the new camera!</t>
  </si>
  <si>
    <t xml:space="preserve">Street snacks in Nantou Ancient Town (9 min walk from the hotel)</t>
  </si>
  <si>
    <r>
      <rPr>
        <sz val="9.5"/>
        <color rgb="FF1B2631"/>
        <rFont val="Arial"/>
        <family val="0"/>
        <charset val="1"/>
      </rPr>
      <t xml:space="preserve">Hike: Nanshan Mountain </t>
    </r>
    <r>
      <rPr>
        <sz val="9.5"/>
        <color rgb="FF1B2631"/>
        <rFont val="Noto Sans CJK SC"/>
        <family val="2"/>
      </rPr>
      <t xml:space="preserve">南山 </t>
    </r>
    <r>
      <rPr>
        <sz val="9.5"/>
        <color rgb="FF1B2631"/>
        <rFont val="Arial"/>
        <family val="0"/>
        <charset val="1"/>
      </rPr>
      <t xml:space="preserve">(Short climb near Shekou with views over Shenzhen Bay &amp; Qianhai)</t>
    </r>
  </si>
  <si>
    <r>
      <rPr>
        <sz val="9.5"/>
        <color rgb="FF1B2631"/>
        <rFont val="Arial"/>
        <family val="0"/>
        <charset val="1"/>
      </rPr>
      <t xml:space="preserve">Wander the restored lanes, courtyards and small cafés of Nantou Ancient Town </t>
    </r>
    <r>
      <rPr>
        <sz val="9.5"/>
        <color rgb="FF1B2631"/>
        <rFont val="Noto Sans CJK SC"/>
        <family val="2"/>
      </rPr>
      <t xml:space="preserve">南头古城 </t>
    </r>
    <r>
      <rPr>
        <sz val="9.5"/>
        <color rgb="FF1B2631"/>
        <rFont val="Arial"/>
        <family val="0"/>
        <charset val="1"/>
      </rPr>
      <t xml:space="preserve">right next to the hotel</t>
    </r>
  </si>
  <si>
    <t xml:space="preserve">Hidden craft brews at Bionic Brew (indie favourite in Nantou). Early night – tomorrow morning train from Futian Station (≈30 min from the hotel).</t>
  </si>
  <si>
    <t xml:space="preserve">Tue</t>
  </si>
  <si>
    <t xml:space="preserve">Hong Kong</t>
  </si>
  <si>
    <t xml:space="preserve">Morning bullet train Futian → West Kowloon (≈15 min), taxi/MTR to Tai Hang. Afternoon &amp; evening around Tai Hang / Causeway Bay.</t>
  </si>
  <si>
    <t xml:space="preserve">Little Tai Hang</t>
  </si>
  <si>
    <t xml:space="preserve">Tai Hang’s little eateries around Wun Sha Street, OR Tung Po Kitchen (North Point, 10 min – drink beer out of bowls!)</t>
  </si>
  <si>
    <t xml:space="preserve">🥾 Hike: Jardine’s Lookout / Mount Butler (trailhead reachable on foot from Tai Hang, harbour views)</t>
  </si>
  <si>
    <t xml:space="preserve">Victoria Park and the small Lin Fa Kung temple in Tai Hang</t>
  </si>
  <si>
    <t xml:space="preserve">Causeway Bay night streets, then a beer in one of Tai Hang’s small bars</t>
  </si>
  <si>
    <t xml:space="preserve">Wed</t>
  </si>
  <si>
    <t xml:space="preserve">🎂 Birthday: Dragon’s Back in the morning (east, ≈20 min), afternoon in Admiralty/Central (HK Park, Peak Tram), dinner at Pacific Place – all next to each other.</t>
  </si>
  <si>
    <t xml:space="preserve">🎂 30th BIRTHDAY DINNER:
Dim Sum Library (Pacific Place, Admiralty – 5 min from HK Park)</t>
  </si>
  <si>
    <t xml:space="preserve">🥾 Hike: Dragon's Back Trail (Scenic ridge walk ending at Big Wave Bay surf beach)</t>
  </si>
  <si>
    <t xml:space="preserve">⭐ Doobydobap pick: Hong Kong Park &amp; Edward Youde Aviary, then the Peak Tram (lower terminus right next to the park) up to Victoria Peak</t>
  </si>
  <si>
    <t xml:space="preserve">Wednesday night horse races at Happy Valley (walking distance from Tai Hang – check the race calendar) OR a blue-stool beer in Wo On Lane, Central</t>
  </si>
  <si>
    <t xml:space="preserve">Thu</t>
  </si>
  <si>
    <t xml:space="preserve">Kowloon day: Kowloon Peak in the morning, Kowloon City, Mong Kok &amp; Sham Shui Po in the afternoon, Temple Street at night, Star Ferry back.</t>
  </si>
  <si>
    <t xml:space="preserve">Lunch: Juicy pan-fried beef buns at Islam Food (Kowloon City)
Dinner – ⭐ Doobydobap pick: Oi Man Sang dai pai dong (Sham Shui Po)</t>
  </si>
  <si>
    <t xml:space="preserve">🥾 Hike: Suicide Cliff / Kowloon Peak (Rugged drop-off view over the concrete jungle)</t>
  </si>
  <si>
    <t xml:space="preserve">⭐ Doobydobap pick: Kowloon Walled City Park, then the Mong Kok flower &amp; goldfish markets</t>
  </si>
  <si>
    <t xml:space="preserve">Temple Street Night Market + ⭐ Doobydobap pick: Mak Man Kee wontons (Jordan); Star Ferry from Tsim Sha Tsui back to the island</t>
  </si>
  <si>
    <t xml:space="preserve">Lamma Island (ferry from Central Pier 4) in the morning, back to Central / Sheung Wan in the afternoon and evening.</t>
  </si>
  <si>
    <t xml:space="preserve">Lunch: Seafood at Sok Kwu Wan on Lamma
Dinner – ⭐ Doobydobap pick: Tsim Chai Kee (king prawn wonton noodles, Central) OR Kam's Roast Goose (Wan Chai – on the way home)</t>
  </si>
  <si>
    <t xml:space="preserve">🥾 Hike: Lamma Island Family Trail (Coastal village walk passing local seafood stilt houses)</t>
  </si>
  <si>
    <t xml:space="preserve">Ride the historic 'Ding Ding' tram from Sheung Wan back east through Central and Wan Chai</t>
  </si>
  <si>
    <t xml:space="preserve">Blue-stool street beer in Wo On Lane, Central</t>
  </si>
  <si>
    <t xml:space="preserve">Lantau day (MTR to Tung Chung): Sunset Peak or Lantau Peak, Tian Tan Buddha, Tai O fishing village. Pack in the evening.</t>
  </si>
  <si>
    <t xml:space="preserve">Seafood &amp; shrimp-paste snacks in Tai O fishing village</t>
  </si>
  <si>
    <t xml:space="preserve">🥾 Hike: Sunset Peak or Lantau Peak (Incredible mountain ridge trail views)</t>
  </si>
  <si>
    <t xml:space="preserve">Tian Tan Buddha &amp; Po Lin Monastery, then Tai O stilt-house village</t>
  </si>
  <si>
    <t xml:space="preserve">Easy last evening in Tai Hang; pack for tomorrow’s train</t>
  </si>
  <si>
    <t xml:space="preserve">Hong Kong → Guangzhou
🚄 travel day</t>
  </si>
  <si>
    <t xml:space="preserve">Morning bullet train West Kowloon → Guangzhou. Check in, then old Guangzhou in the west: Shamian Island, Huangsha market, Enning Road – all within walking distance of each other.</t>
  </si>
  <si>
    <t xml:space="preserve">Pazhou Canton Gauss</t>
  </si>
  <si>
    <t xml:space="preserve">Dian Dou De (Traditional dim sum served all day – try the shrimp rice rolls; pick a branch near Shamian / Liwan)</t>
  </si>
  <si>
    <r>
      <rPr>
        <sz val="9.5"/>
        <color rgb="FF1B2631"/>
        <rFont val="Arial"/>
        <family val="0"/>
        <charset val="1"/>
      </rPr>
      <t xml:space="preserve">Stroll the tree-lined riverside of Shamian Island </t>
    </r>
    <r>
      <rPr>
        <sz val="9.5"/>
        <color rgb="FF1B2631"/>
        <rFont val="Noto Sans CJK SC"/>
        <family val="2"/>
      </rPr>
      <t xml:space="preserve">沙面</t>
    </r>
  </si>
  <si>
    <t xml:space="preserve">Huangsha Seafood Market (next to Shamian) and the old arcade houses (Qilou) of Enning Road &amp; Liwan</t>
  </si>
  <si>
    <t xml:space="preserve">Evening Pearl River cruise under the lit Canton Tower</t>
  </si>
  <si>
    <t xml:space="preserve">Guangzhou</t>
  </si>
  <si>
    <t xml:space="preserve">North → south day: Baiyun Mountain in the morning, Baima market near Guangzhou Railway Station, then Yuexiu / Dongshankou in the evening.</t>
  </si>
  <si>
    <t xml:space="preserve">Huajiao Jizuo (Local fiery claypot chicken with crackling Sichuan peppercorns)</t>
  </si>
  <si>
    <r>
      <rPr>
        <sz val="9.5"/>
        <color rgb="FF1B2631"/>
        <rFont val="Arial"/>
        <family val="0"/>
        <charset val="1"/>
      </rPr>
      <t xml:space="preserve">Hike: Skip the cable car; hike the steps up Baiyun Mountain </t>
    </r>
    <r>
      <rPr>
        <sz val="9.5"/>
        <color rgb="FF1B2631"/>
        <rFont val="Noto Sans CJK SC"/>
        <family val="2"/>
      </rPr>
      <t xml:space="preserve">白云山 </t>
    </r>
    <r>
      <rPr>
        <sz val="9.5"/>
        <color rgb="FF1B2631"/>
        <rFont val="Arial"/>
        <family val="0"/>
        <charset val="1"/>
      </rPr>
      <t xml:space="preserve">to Moxing Ridge</t>
    </r>
  </si>
  <si>
    <r>
      <rPr>
        <sz val="9.5"/>
        <color rgb="FF1B2631"/>
        <rFont val="Arial"/>
        <family val="0"/>
        <charset val="1"/>
      </rPr>
      <t xml:space="preserve">🛍️ Shopping: Baima Clothing Market </t>
    </r>
    <r>
      <rPr>
        <sz val="9.5"/>
        <color rgb="FF1B2631"/>
        <rFont val="Noto Sans CJK SC"/>
        <family val="2"/>
      </rPr>
      <t xml:space="preserve">白马服装市场 </t>
    </r>
    <r>
      <rPr>
        <sz val="9.5"/>
        <color rgb="FF1B2631"/>
        <rFont val="Arial"/>
        <family val="0"/>
        <charset val="1"/>
      </rPr>
      <t xml:space="preserve">(wholesale fashion mall next to Guangzhou Railway Station)</t>
    </r>
  </si>
  <si>
    <t xml:space="preserve">Stroll the tree-lined alleys of Dongshankou art district and eat herbal desserts at a tiny stall there</t>
  </si>
  <si>
    <t xml:space="preserve">Haizhu day close to the hotel: Haizhu Wetland Park, Canton Tower area and the riverside around Pazhou.</t>
  </si>
  <si>
    <t xml:space="preserve">Classic Cantonese roast meats (char siu &amp; roast goose) around Canton Tower / Haizhu</t>
  </si>
  <si>
    <r>
      <rPr>
        <sz val="9.5"/>
        <color rgb="FF1B2631"/>
        <rFont val="Arial"/>
        <family val="0"/>
        <charset val="1"/>
      </rPr>
      <t xml:space="preserve">Walk the wooden boardwalk trails of Haizhu Wetland Park </t>
    </r>
    <r>
      <rPr>
        <sz val="9.5"/>
        <color rgb="FF1B2631"/>
        <rFont val="Noto Sans CJK SC"/>
        <family val="2"/>
      </rPr>
      <t xml:space="preserve">海珠湿地 </t>
    </r>
    <r>
      <rPr>
        <sz val="9.5"/>
        <color rgb="FF1B2631"/>
        <rFont val="Arial"/>
        <family val="0"/>
        <charset val="1"/>
      </rPr>
      <t xml:space="preserve">(≈15 min from the hotel)</t>
    </r>
  </si>
  <si>
    <t xml:space="preserve">Specialty coffee in the converted textile factory of TIT Creative Park, next to Canton Tower</t>
  </si>
  <si>
    <t xml:space="preserve">Local craft beers at the Pearl River Party Pier art zone (Pazhou, near the hotel)</t>
  </si>
  <si>
    <t xml:space="preserve">Guangzhou → Zhangjiajie
🚄 travel day</t>
  </si>
  <si>
    <t xml:space="preserve">🚄 Morning high-speed train Guangzhou South → Zhangjiajie West (≈5–6 h, usually via Changsha). Taxi ≈40–50 min to Pandora Hilltop Hotel in the Wulingyuan / park area – ask the hotel how to get there with luggage (park ticket / pick-up?).</t>
  </si>
  <si>
    <t xml:space="preserve">Pandora Hilltop Hotel</t>
  </si>
  <si>
    <r>
      <rPr>
        <sz val="9.5"/>
        <color rgb="FF1B2631"/>
        <rFont val="Arial"/>
        <family val="0"/>
        <charset val="1"/>
      </rPr>
      <t xml:space="preserve">Sanxiaguo </t>
    </r>
    <r>
      <rPr>
        <sz val="9.5"/>
        <color rgb="FF1B2631"/>
        <rFont val="Noto Sans CJK SC"/>
        <family val="2"/>
      </rPr>
      <t xml:space="preserve">三下锅 </t>
    </r>
    <r>
      <rPr>
        <sz val="9.5"/>
        <color rgb="FF1B2631"/>
        <rFont val="Arial"/>
        <family val="0"/>
        <charset val="1"/>
      </rPr>
      <t xml:space="preserve">(Zhangjiajie's signature spicy "three-in-one" dry pot) in Wulingyuan</t>
    </r>
  </si>
  <si>
    <t xml:space="preserve">Evening walk through Wulingyuan town along the Suoxi River</t>
  </si>
  <si>
    <t xml:space="preserve">Buy park tickets (valid several days) and plan tomorrow’s route</t>
  </si>
  <si>
    <t xml:space="preserve">Gear check, buy cheap bamboo walking poles and prep packs for the early start</t>
  </si>
  <si>
    <t xml:space="preserve">Zhangjiajie</t>
  </si>
  <si>
    <t xml:space="preserve">Full day National Forest Park, starting right from the hotel area (Bailong Elevator ≈10 min away): Bailong Elevator, Yuanjiajie (Avatar mountains), Tianzi Mountain.</t>
  </si>
  <si>
    <t xml:space="preserve">Tujia Style Smoked Pork Pot (Savory, intense local ethnic minority specialty dish)</t>
  </si>
  <si>
    <t xml:space="preserve">Hike (ANTI-CROWD PATH): At the Wulingyuan gate at opening (~07:00), shuttle bus straight to Bailong Elevator before the tour groups, Yuanjiajie first, then along to Tianzi Mountain.</t>
  </si>
  <si>
    <t xml:space="preserve">Reddit Tip: If the tour groups turn left, you turn right. Keep your hands free to dodge wild monkeys.</t>
  </si>
  <si>
    <t xml:space="preserve">Ride the Tianzi Mountain cableway down in the late afternoon (before closing) for crowd-free views, back to Wulingyuan.</t>
  </si>
  <si>
    <t xml:space="preserve">Tianmen Mountain (cableway starts in Zhangjiajie city, ≈45 min from the hotel): Heaven's Gate, glass skywalks.</t>
  </si>
  <si>
    <t xml:space="preserve">Xiangxi Wild Mushroom Stew (Comforting claypot with forest-foraged mushrooms)</t>
  </si>
  <si>
    <t xml:space="preserve">Hike: Catch one of the first cableways up Tianmen Mountain (check opening time the day before) to walk the Glass Skywalks before the groups arrive.</t>
  </si>
  <si>
    <t xml:space="preserve">Climb the 999 steps up to Heaven's Gate (Tianmen Cave) instead of taking the escalators.</t>
  </si>
  <si>
    <t xml:space="preserve">Back in Wulingyuan: ice-cold local beers at a quiet guesthouse away from the neon centre.</t>
  </si>
  <si>
    <t xml:space="preserve">Zhangjiajie → Chongqing
🚄 travel day</t>
  </si>
  <si>
    <t xml:space="preserve">🚄 Train Zhangjiajie West → Chongqing (≈4–5 h via Qianjiang). Evening in Yuzhong near the hotel: Hongyadong &amp; Chaotianmen are a 12-min walk.</t>
  </si>
  <si>
    <t xml:space="preserve">MC Maiyue</t>
  </si>
  <si>
    <t xml:space="preserve">Peijie Hotpot (Legendary local hotpot served inside an old underground air-raid shelter!)</t>
  </si>
  <si>
    <t xml:space="preserve">Evening walk down the stairways from Jiefangbei to the riverfront</t>
  </si>
  <si>
    <r>
      <rPr>
        <sz val="9.5"/>
        <color rgb="FF1B2631"/>
        <rFont val="Arial"/>
        <family val="0"/>
        <charset val="1"/>
      </rPr>
      <t xml:space="preserve">Bai Xiang Ju </t>
    </r>
    <r>
      <rPr>
        <sz val="9.5"/>
        <color rgb="FF1B2631"/>
        <rFont val="Noto Sans CJK SC"/>
        <family val="2"/>
      </rPr>
      <t xml:space="preserve">白象居 </t>
    </r>
    <r>
      <rPr>
        <sz val="9.5"/>
        <color rgb="FF1B2631"/>
        <rFont val="Arial"/>
        <family val="0"/>
        <charset val="1"/>
      </rPr>
      <t xml:space="preserve">vertical apartments (no elevator for 24 floors!), Yuzhong</t>
    </r>
  </si>
  <si>
    <r>
      <rPr>
        <sz val="9.5"/>
        <color rgb="FF1B2631"/>
        <rFont val="Arial"/>
        <family val="0"/>
        <charset val="1"/>
      </rPr>
      <t xml:space="preserve">Hongyadong </t>
    </r>
    <r>
      <rPr>
        <sz val="9.5"/>
        <color rgb="FF1B2631"/>
        <rFont val="Noto Sans CJK SC"/>
        <family val="2"/>
      </rPr>
      <t xml:space="preserve">洪崖洞 </t>
    </r>
    <r>
      <rPr>
        <sz val="9.5"/>
        <color rgb="FF1B2631"/>
        <rFont val="Arial"/>
        <family val="0"/>
        <charset val="1"/>
      </rPr>
      <t xml:space="preserve">lit up at night + view of the river junction from Chaotianmen</t>
    </r>
  </si>
  <si>
    <t xml:space="preserve">Chongqing</t>
  </si>
  <si>
    <t xml:space="preserve">West Yuzhong day: Liziba monorail, Eling Park, Daping, then Line 1 to Ciqikou ancient town.</t>
  </si>
  <si>
    <r>
      <rPr>
        <sz val="9.5"/>
        <color rgb="FF1B2631"/>
        <rFont val="Noto Sans CJK SC"/>
        <family val="2"/>
      </rPr>
      <t xml:space="preserve">开半天猪耳朵面 </t>
    </r>
    <r>
      <rPr>
        <sz val="9.5"/>
        <color rgb="FF1B2631"/>
        <rFont val="Arial"/>
        <family val="0"/>
        <charset val="1"/>
      </rPr>
      <t xml:space="preserve">(Famed local hidden diner known for legendary cold pig-ear noodles near Daping)</t>
    </r>
  </si>
  <si>
    <r>
      <rPr>
        <sz val="9.5"/>
        <color rgb="FF1B2631"/>
        <rFont val="Arial"/>
        <family val="0"/>
        <charset val="1"/>
      </rPr>
      <t xml:space="preserve">Hike: Steep hill paths of Eling Park </t>
    </r>
    <r>
      <rPr>
        <sz val="9.5"/>
        <color rgb="FF1B2631"/>
        <rFont val="Noto Sans CJK SC"/>
        <family val="2"/>
      </rPr>
      <t xml:space="preserve">鹅岭公园 </t>
    </r>
    <r>
      <rPr>
        <sz val="9.5"/>
        <color rgb="FF1B2631"/>
        <rFont val="Arial"/>
        <family val="0"/>
        <charset val="1"/>
      </rPr>
      <t xml:space="preserve">and the stone staircases down towards Liziba</t>
    </r>
  </si>
  <si>
    <r>
      <rPr>
        <sz val="9.5"/>
        <color rgb="FF1B2631"/>
        <rFont val="Arial"/>
        <family val="0"/>
        <charset val="1"/>
      </rPr>
      <t xml:space="preserve">Watch the train go through the building at Liziba </t>
    </r>
    <r>
      <rPr>
        <sz val="9.5"/>
        <color rgb="FF1B2631"/>
        <rFont val="Noto Sans CJK SC"/>
        <family val="2"/>
      </rPr>
      <t xml:space="preserve">李子坝</t>
    </r>
    <r>
      <rPr>
        <sz val="9.5"/>
        <color rgb="FF1B2631"/>
        <rFont val="Arial"/>
        <family val="0"/>
        <charset val="1"/>
      </rPr>
      <t xml:space="preserve">, then Ciqikou ancient town </t>
    </r>
    <r>
      <rPr>
        <sz val="9.5"/>
        <color rgb="FF1B2631"/>
        <rFont val="Noto Sans CJK SC"/>
        <family val="2"/>
      </rPr>
      <t xml:space="preserve">磁器口</t>
    </r>
  </si>
  <si>
    <t xml:space="preserve">Jiefangbei &amp; Bayi Road snack street on the way home</t>
  </si>
  <si>
    <t xml:space="preserve">Day trip to Wulong (train ≈1–2 h depending on connection, or a tour/driver) – Karst National Park: Three Natural Bridges &amp; Furong Cave.</t>
  </si>
  <si>
    <t xml:space="preserve">Wulong Mountain Wild Mushroom Hotpot (Foraging-style local mountain farm stew)</t>
  </si>
  <si>
    <t xml:space="preserve">Hike: Wulong Karst National Geological Park (Three Natural Bridges &amp; deep cavern fissure walk)</t>
  </si>
  <si>
    <r>
      <rPr>
        <sz val="9.5"/>
        <color rgb="FF1B2631"/>
        <rFont val="Arial"/>
        <family val="0"/>
        <charset val="1"/>
      </rPr>
      <t xml:space="preserve">Explore Furong Cave </t>
    </r>
    <r>
      <rPr>
        <sz val="9.5"/>
        <color rgb="FF1B2631"/>
        <rFont val="Noto Sans CJK SC"/>
        <family val="2"/>
      </rPr>
      <t xml:space="preserve">芙蓉洞 </t>
    </r>
    <r>
      <rPr>
        <sz val="9.5"/>
        <color rgb="FF1B2631"/>
        <rFont val="Arial"/>
        <family val="0"/>
        <charset val="1"/>
      </rPr>
      <t xml:space="preserve">(huge karst cave, also in Wulong)</t>
    </r>
  </si>
  <si>
    <t xml:space="preserve">Relax with a local hot spring soak after the hike</t>
  </si>
  <si>
    <t xml:space="preserve">Nan'an day (south bank): cross the Yangtze River Cableway (station on Xinhua Road), Huangge Ancient Path, sunset &amp; night view on South Mountain.</t>
  </si>
  <si>
    <r>
      <rPr>
        <sz val="9.5"/>
        <color rgb="FF1B2631"/>
        <rFont val="Arial"/>
        <family val="0"/>
        <charset val="1"/>
      </rPr>
      <t xml:space="preserve">Nanshan spring-water chicken </t>
    </r>
    <r>
      <rPr>
        <sz val="9.5"/>
        <color rgb="FF1B2631"/>
        <rFont val="Noto Sans CJK SC"/>
        <family val="2"/>
      </rPr>
      <t xml:space="preserve">泉水鸡 </t>
    </r>
    <r>
      <rPr>
        <sz val="9.5"/>
        <color rgb="FF1B2631"/>
        <rFont val="Arial"/>
        <family val="0"/>
        <charset val="1"/>
      </rPr>
      <t xml:space="preserve">(South Mountain's local speciality)</t>
    </r>
  </si>
  <si>
    <r>
      <rPr>
        <sz val="9.5"/>
        <color rgb="FF1B2631"/>
        <rFont val="Arial"/>
        <family val="0"/>
        <charset val="1"/>
      </rPr>
      <t xml:space="preserve">Hike: Climb the rustic stone steps of the Huangge Ancient Path </t>
    </r>
    <r>
      <rPr>
        <sz val="9.5"/>
        <color rgb="FF1B2631"/>
        <rFont val="Noto Sans CJK SC"/>
        <family val="2"/>
      </rPr>
      <t xml:space="preserve">黄葛古道 </t>
    </r>
    <r>
      <rPr>
        <sz val="9.5"/>
        <color rgb="FF1B2631"/>
        <rFont val="Arial"/>
        <family val="0"/>
        <charset val="1"/>
      </rPr>
      <t xml:space="preserve">under giant banyan trees</t>
    </r>
  </si>
  <si>
    <r>
      <rPr>
        <sz val="9.5"/>
        <color rgb="FF1B2631"/>
        <rFont val="Arial"/>
        <family val="0"/>
        <charset val="1"/>
      </rPr>
      <t xml:space="preserve">Yangtze River Cableway </t>
    </r>
    <r>
      <rPr>
        <sz val="9.5"/>
        <color rgb="FF1B2631"/>
        <rFont val="Noto Sans CJK SC"/>
        <family val="2"/>
      </rPr>
      <t xml:space="preserve">长江索道 </t>
    </r>
    <r>
      <rPr>
        <sz val="9.5"/>
        <color rgb="FF1B2631"/>
        <rFont val="Arial"/>
        <family val="0"/>
        <charset val="1"/>
      </rPr>
      <t xml:space="preserve">across the river</t>
    </r>
  </si>
  <si>
    <r>
      <rPr>
        <sz val="9.5"/>
        <color rgb="FF1B2631"/>
        <rFont val="Arial"/>
        <family val="0"/>
        <charset val="1"/>
      </rPr>
      <t xml:space="preserve">Watch the city light up at dusk from the Yikeshu viewpoint </t>
    </r>
    <r>
      <rPr>
        <sz val="9.5"/>
        <color rgb="FF1B2631"/>
        <rFont val="Noto Sans CJK SC"/>
        <family val="2"/>
      </rPr>
      <t xml:space="preserve">一棵树 </t>
    </r>
    <r>
      <rPr>
        <sz val="9.5"/>
        <color rgb="FF1B2631"/>
        <rFont val="Arial"/>
        <family val="0"/>
        <charset val="1"/>
      </rPr>
      <t xml:space="preserve">or Swimin café (Nan'an)</t>
    </r>
  </si>
  <si>
    <t xml:space="preserve">Chongqing → Chengdu
🚄 travel day</t>
  </si>
  <si>
    <t xml:space="preserve">🚄 Morning high-speed train Chongqing → Chengdu East (≈1–1.5 h), metro Line 2 straight to Chunxi Road. Afternoon south-west: Wuhou Shrine &amp; Jinli, evening in Yulin.</t>
  </si>
  <si>
    <t xml:space="preserve">SSAW Garden Hotel Chunxi Road</t>
  </si>
  <si>
    <t xml:space="preserve">Xiao Long Kan Hotpot (Famed local Sichuan peppercorn tallow hotpot)</t>
  </si>
  <si>
    <t xml:space="preserve">Easy walk along the Jinjiang River promenade from Jiuyanqiao towards the hotel</t>
  </si>
  <si>
    <r>
      <rPr>
        <sz val="9.5"/>
        <color rgb="FF1B2631"/>
        <rFont val="Arial"/>
        <family val="0"/>
        <charset val="1"/>
      </rPr>
      <t xml:space="preserve">Quiet back gardens of Wuhou Shrine </t>
    </r>
    <r>
      <rPr>
        <sz val="9.5"/>
        <color rgb="FF1B2631"/>
        <rFont val="Noto Sans CJK SC"/>
        <family val="2"/>
      </rPr>
      <t xml:space="preserve">武侯祠 </t>
    </r>
    <r>
      <rPr>
        <sz val="9.5"/>
        <color rgb="FF1B2631"/>
        <rFont val="Arial"/>
        <family val="0"/>
        <charset val="1"/>
      </rPr>
      <t xml:space="preserve">+ the lantern-lit Jinli </t>
    </r>
    <r>
      <rPr>
        <sz val="9.5"/>
        <color rgb="FF1B2631"/>
        <rFont val="Noto Sans CJK SC"/>
        <family val="2"/>
      </rPr>
      <t xml:space="preserve">锦里 </t>
    </r>
    <r>
      <rPr>
        <sz val="9.5"/>
        <color rgb="FF1B2631"/>
        <rFont val="Arial"/>
        <family val="0"/>
        <charset val="1"/>
      </rPr>
      <t xml:space="preserve">alley right next to it (≈4 km from the hotel)</t>
    </r>
  </si>
  <si>
    <r>
      <rPr>
        <sz val="9.5"/>
        <color rgb="FF1B2631"/>
        <rFont val="Arial"/>
        <family val="0"/>
        <charset val="1"/>
      </rPr>
      <t xml:space="preserve">Wander the retro artistic alleys and small bars of Yulin </t>
    </r>
    <r>
      <rPr>
        <sz val="9.5"/>
        <color rgb="FF1B2631"/>
        <rFont val="Noto Sans CJK SC"/>
        <family val="2"/>
      </rPr>
      <t xml:space="preserve">玉林 </t>
    </r>
    <r>
      <rPr>
        <sz val="9.5"/>
        <color rgb="FF1B2631"/>
        <rFont val="Arial"/>
        <family val="0"/>
        <charset val="1"/>
      </rPr>
      <t xml:space="preserve">(≈2 km from Wuhou Shrine)</t>
    </r>
  </si>
  <si>
    <t xml:space="preserve">Chengdu</t>
  </si>
  <si>
    <t xml:space="preserve">Panda Base early in the morning (north), Wenshu Monastery on the way back, then People's Park &amp; Kuanzhai Alley (next to each other) in the afternoon.</t>
  </si>
  <si>
    <t xml:space="preserve">Lunch: Dongzikou Zhang Laoer Liangfen (sweet &amp; spicy bean jelly noodles near Wenshu Monastery)
Dinner: Chen Mapo Tofu (birthplace of authentic Mapo Tofu)</t>
  </si>
  <si>
    <t xml:space="preserve">Early morning arrival at Giant Panda Base (07:30 AM sharp) to miss the tour buses completely</t>
  </si>
  <si>
    <r>
      <rPr>
        <sz val="9.5"/>
        <color rgb="FF1B2631"/>
        <rFont val="Arial"/>
        <family val="0"/>
        <charset val="1"/>
      </rPr>
      <t xml:space="preserve">Wenshu Monastery </t>
    </r>
    <r>
      <rPr>
        <sz val="9.5"/>
        <color rgb="FF1B2631"/>
        <rFont val="Noto Sans CJK SC"/>
        <family val="2"/>
      </rPr>
      <t xml:space="preserve">文殊院</t>
    </r>
    <r>
      <rPr>
        <sz val="9.5"/>
        <color rgb="FF1B2631"/>
        <rFont val="Arial"/>
        <family val="0"/>
        <charset val="1"/>
      </rPr>
      <t xml:space="preserve">, then Gaiwan tea on low bamboo chairs at the People's Park teahouse</t>
    </r>
  </si>
  <si>
    <r>
      <rPr>
        <sz val="9.5"/>
        <color rgb="FF1B2631"/>
        <rFont val="Arial"/>
        <family val="0"/>
        <charset val="1"/>
      </rPr>
      <t xml:space="preserve">Kuanzhai Alley </t>
    </r>
    <r>
      <rPr>
        <sz val="9.5"/>
        <color rgb="FF1B2631"/>
        <rFont val="Noto Sans CJK SC"/>
        <family val="2"/>
      </rPr>
      <t xml:space="preserve">宽窄巷子 </t>
    </r>
    <r>
      <rPr>
        <sz val="9.5"/>
        <color rgb="FF1B2631"/>
        <rFont val="Arial"/>
        <family val="0"/>
        <charset val="1"/>
      </rPr>
      <t xml:space="preserve">lit up in the evening (≈1.5 km from People's Park), then metro Line 2 home</t>
    </r>
  </si>
  <si>
    <t xml:space="preserve">Day trip to Qingcheng Mountain &amp; Dujiangyan (train ≈1 h from Xipu / Chengdu West – ≈30–40 min by metro from the hotel), back in the evening.</t>
  </si>
  <si>
    <t xml:space="preserve">Mountain Village Farmhouse (Smoked bacon, wild bamboo shoots &amp; forest herbs) at the foot of Qingcheng</t>
  </si>
  <si>
    <r>
      <rPr>
        <sz val="9.5"/>
        <color rgb="FF1B2631"/>
        <rFont val="Arial"/>
        <family val="0"/>
        <charset val="1"/>
      </rPr>
      <t xml:space="preserve">Hike: Qingcheng Front Mountain </t>
    </r>
    <r>
      <rPr>
        <sz val="9.5"/>
        <color rgb="FF1B2631"/>
        <rFont val="Noto Sans CJK SC"/>
        <family val="2"/>
      </rPr>
      <t xml:space="preserve">青城山 </t>
    </r>
    <r>
      <rPr>
        <sz val="9.5"/>
        <color rgb="FF1B2631"/>
        <rFont val="Arial"/>
        <family val="0"/>
        <charset val="1"/>
      </rPr>
      <t xml:space="preserve">(Steep stone steps through hidden Taoist temples)</t>
    </r>
  </si>
  <si>
    <r>
      <rPr>
        <sz val="9.5"/>
        <color rgb="FF1B2631"/>
        <rFont val="Arial"/>
        <family val="0"/>
        <charset val="1"/>
      </rPr>
      <t xml:space="preserve">Dujiangyan Irrigation System </t>
    </r>
    <r>
      <rPr>
        <sz val="9.5"/>
        <color rgb="FF1B2631"/>
        <rFont val="Noto Sans CJK SC"/>
        <family val="2"/>
      </rPr>
      <t xml:space="preserve">都江堰 </t>
    </r>
    <r>
      <rPr>
        <sz val="9.5"/>
        <color rgb="FF1B2631"/>
        <rFont val="Arial"/>
        <family val="0"/>
        <charset val="1"/>
      </rPr>
      <t xml:space="preserve">(UNESCO, ≈15 min from Qingcheng)</t>
    </r>
  </si>
  <si>
    <r>
      <rPr>
        <sz val="9.5"/>
        <color rgb="FF1B2631"/>
        <rFont val="Arial"/>
        <family val="0"/>
        <charset val="1"/>
      </rPr>
      <t xml:space="preserve">Back in Chengdu: evening stroll through Taikoo Li </t>
    </r>
    <r>
      <rPr>
        <sz val="9.5"/>
        <color rgb="FF1B2631"/>
        <rFont val="Noto Sans CJK SC"/>
        <family val="2"/>
      </rPr>
      <t xml:space="preserve">太古里 </t>
    </r>
    <r>
      <rPr>
        <sz val="9.5"/>
        <color rgb="FF1B2631"/>
        <rFont val="Arial"/>
        <family val="0"/>
        <charset val="1"/>
      </rPr>
      <t xml:space="preserve">next to the hotel</t>
    </r>
  </si>
  <si>
    <t xml:space="preserve">Chengdu → Chongqing
🚄 travel day</t>
  </si>
  <si>
    <t xml:space="preserve">Last morning around Chunxi Road, check out (Line 2 to Chengdu East ≈20 min). 🚄 Midday train Chengdu East → Chongqing (≈1–1.5 h). Check in at Jiefangbei, evening walk across the river and back.</t>
  </si>
  <si>
    <t xml:space="preserve">Aranciel High-Rise River View Hotel (Jiefangbei / Hongyadong)</t>
  </si>
  <si>
    <r>
      <rPr>
        <sz val="9.5"/>
        <color rgb="FF1B2631"/>
        <rFont val="Arial"/>
        <family val="0"/>
        <charset val="1"/>
      </rPr>
      <t xml:space="preserve">Dinner: Chongqing grilled fish </t>
    </r>
    <r>
      <rPr>
        <sz val="9.5"/>
        <color rgb="FF1B2631"/>
        <rFont val="Noto Sans CJK SC"/>
        <family val="2"/>
      </rPr>
      <t xml:space="preserve">烤鱼 </t>
    </r>
    <r>
      <rPr>
        <sz val="9.5"/>
        <color rgb="FF1B2631"/>
        <rFont val="Arial"/>
        <family val="0"/>
        <charset val="1"/>
      </rPr>
      <t xml:space="preserve">around Jiefangbei</t>
    </r>
  </si>
  <si>
    <r>
      <rPr>
        <sz val="9.5"/>
        <color rgb="FF1B2631"/>
        <rFont val="Arial"/>
        <family val="0"/>
        <charset val="1"/>
      </rPr>
      <t xml:space="preserve">Final tea in the courtyard teahouse of Daci Temple </t>
    </r>
    <r>
      <rPr>
        <sz val="9.5"/>
        <color rgb="FF1B2631"/>
        <rFont val="Noto Sans CJK SC"/>
        <family val="2"/>
      </rPr>
      <t xml:space="preserve">大慈寺 </t>
    </r>
    <r>
      <rPr>
        <sz val="9.5"/>
        <color rgb="FF1B2631"/>
        <rFont val="Arial"/>
        <family val="0"/>
        <charset val="1"/>
      </rPr>
      <t xml:space="preserve">(inside Taikoo Li, ≈5 min walk) before the train</t>
    </r>
  </si>
  <si>
    <r>
      <rPr>
        <sz val="9.5"/>
        <color rgb="FF1B2631"/>
        <rFont val="Arial"/>
        <family val="0"/>
        <charset val="1"/>
      </rPr>
      <t xml:space="preserve">Walk across Qiansimen Bridge </t>
    </r>
    <r>
      <rPr>
        <sz val="9.5"/>
        <color rgb="FF1B2631"/>
        <rFont val="Noto Sans CJK SC"/>
        <family val="2"/>
      </rPr>
      <t xml:space="preserve">千厮门大桥 </t>
    </r>
    <r>
      <rPr>
        <sz val="9.5"/>
        <color rgb="FF1B2631"/>
        <rFont val="Arial"/>
        <family val="0"/>
        <charset val="1"/>
      </rPr>
      <t xml:space="preserve">to Jiangbeizui for the classic view back at the lit-up Hongyadong</t>
    </r>
  </si>
  <si>
    <t xml:space="preserve">Night view from your high-rise river-view room, or the Raffles City "Crystal" sky bridge at Chaotianmen (≈10 min walk)</t>
  </si>
  <si>
    <t xml:space="preserve">Last full day: afternoon &amp; evening on the Jiangbei side (Beicang, Guanyinqiao, Ninth Street – ≈20 min by taxi). Back to the hotel ≈22:00 to shower &amp; grab bags (room is booked until 23.11), leave for CKG airport (≈40 min) around 23:00.</t>
  </si>
  <si>
    <t xml:space="preserve">Spicy street food in Guanyinqiao's alleyway basements</t>
  </si>
  <si>
    <r>
      <rPr>
        <sz val="9.5"/>
        <color rgb="FF1B2631"/>
        <rFont val="Arial"/>
        <family val="0"/>
        <charset val="1"/>
      </rPr>
      <t xml:space="preserve">Relaxed morning around Jiefangbei: the old Shibati stairs </t>
    </r>
    <r>
      <rPr>
        <sz val="9.5"/>
        <color rgb="FF1B2631"/>
        <rFont val="Noto Sans CJK SC"/>
        <family val="2"/>
      </rPr>
      <t xml:space="preserve">十八梯 </t>
    </r>
    <r>
      <rPr>
        <sz val="9.5"/>
        <color rgb="FF1B2631"/>
        <rFont val="Arial"/>
        <family val="0"/>
        <charset val="1"/>
      </rPr>
      <t xml:space="preserve">(≈15 min walk)</t>
    </r>
  </si>
  <si>
    <r>
      <rPr>
        <sz val="9.5"/>
        <color rgb="FF1B2631"/>
        <rFont val="Arial"/>
        <family val="0"/>
        <charset val="1"/>
      </rPr>
      <t xml:space="preserve">Beicang </t>
    </r>
    <r>
      <rPr>
        <sz val="9.5"/>
        <color rgb="FF1B2631"/>
        <rFont val="Noto Sans CJK SC"/>
        <family val="2"/>
      </rPr>
      <t xml:space="preserve">北仓 </t>
    </r>
    <r>
      <rPr>
        <sz val="9.5"/>
        <color rgb="FF1B2631"/>
        <rFont val="Arial"/>
        <family val="0"/>
        <charset val="1"/>
      </rPr>
      <t xml:space="preserve">cultural district (old warehouses with cafés &amp; bookshops, Jiangbei)</t>
    </r>
  </si>
  <si>
    <r>
      <rPr>
        <sz val="9.5"/>
        <color rgb="FF1B2631"/>
        <rFont val="Arial"/>
        <family val="0"/>
        <charset val="1"/>
      </rPr>
      <t xml:space="preserve">🍻 The Ninth Street </t>
    </r>
    <r>
      <rPr>
        <sz val="9.5"/>
        <color rgb="FF1B2631"/>
        <rFont val="Noto Sans CJK SC"/>
        <family val="2"/>
      </rPr>
      <t xml:space="preserve">九街 </t>
    </r>
    <r>
      <rPr>
        <sz val="9.5"/>
        <color rgb="FF1B2631"/>
        <rFont val="Arial"/>
        <family val="0"/>
        <charset val="1"/>
      </rPr>
      <t xml:space="preserve">(Guanyinqiao bar &amp; nightlife street), then back to the hotel</t>
    </r>
  </si>
  <si>
    <t xml:space="preserve">Flight HU469 Chongqing (CKG) 02:50 → Brussels (BRU), arrival ≈07:35 local time.</t>
  </si>
  <si>
    <t xml:space="preserve">Flight departs CKG at 02:50 AM (check-in ≈3 h before).</t>
  </si>
  <si>
    <t xml:space="preserve">Land at Brussels Airport (BRU) ≈07:35 AM.</t>
  </si>
  <si>
    <t xml:space="preserve">Journey completed safely.</t>
  </si>
  <si>
    <t xml:space="preserve">Hotels &amp; Budget</t>
  </si>
  <si>
    <t xml:space="preserve">Prices are the total per stay (€). Nights and totals are calculated.</t>
  </si>
  <si>
    <t xml:space="preserve">Check-in</t>
  </si>
  <si>
    <t xml:space="preserve">Check-out</t>
  </si>
  <si>
    <t xml:space="preserve">Nights</t>
  </si>
  <si>
    <t xml:space="preserve">Price (€)</t>
  </si>
  <si>
    <t xml:space="preserve">€ / night</t>
  </si>
  <si>
    <t xml:space="preserve">Notes</t>
  </si>
  <si>
    <t xml:space="preserve">Nanshan, next to Nantou Ancient Town</t>
  </si>
  <si>
    <t xml:space="preserve">Tai Hang, next to Causeway Bay</t>
  </si>
  <si>
    <t xml:space="preserve">Pazhou (Haizhu district)</t>
  </si>
  <si>
    <t xml:space="preserve">In the Wulingyuan / park area – ask how to get there with luggage</t>
  </si>
  <si>
    <t xml:space="preserve">Jiefangbei / Chaotianmen (Yuzhong)</t>
  </si>
  <si>
    <t xml:space="preserve">Metro Line 2 straight to Chengdu East station</t>
  </si>
  <si>
    <t xml:space="preserve">Room kept until the 02:50 flight</t>
  </si>
  <si>
    <t xml:space="preserve">TOTAL</t>
  </si>
  <si>
    <t xml:space="preserve">average per night</t>
  </si>
  <si>
    <t xml:space="preserve">Flights &amp; Trains</t>
  </si>
  <si>
    <t xml:space="preserve">Train durations are estimates – check exact times on Trip.com / 12306 before booking.</t>
  </si>
  <si>
    <t xml:space="preserve">Type</t>
  </si>
  <si>
    <t xml:space="preserve">From</t>
  </si>
  <si>
    <t xml:space="preserve">To</t>
  </si>
  <si>
    <t xml:space="preserve">Time / duration</t>
  </si>
  <si>
    <t xml:space="preserve">Booked?</t>
  </si>
  <si>
    <t xml:space="preserve">✈️ Flight HU492</t>
  </si>
  <si>
    <t xml:space="preserve">Brussels (BRU)</t>
  </si>
  <si>
    <t xml:space="preserve">Beijing (PEK) T2</t>
  </si>
  <si>
    <t xml:space="preserve">Dep 12:20 → arr 31 Oct 04:40</t>
  </si>
  <si>
    <t xml:space="preserve">✈️ Flight HU7701</t>
  </si>
  <si>
    <t xml:space="preserve">Shenzhen (SZX) T3</t>
  </si>
  <si>
    <t xml:space="preserve">Dep 08:30 → arr 11:55</t>
  </si>
  <si>
    <t xml:space="preserve">🚄 Train</t>
  </si>
  <si>
    <t xml:space="preserve">Shenzhen Futian</t>
  </si>
  <si>
    <t xml:space="preserve">Hong Kong West Kowloon</t>
  </si>
  <si>
    <t xml:space="preserve">≈15 min</t>
  </si>
  <si>
    <t xml:space="preserve">Guangzhou South</t>
  </si>
  <si>
    <t xml:space="preserve">≈1 h</t>
  </si>
  <si>
    <t xml:space="preserve">Zhangjiajie West</t>
  </si>
  <si>
    <t xml:space="preserve">≈5–6 h (via Changsha)</t>
  </si>
  <si>
    <t xml:space="preserve">≈4–5 h (via Qianjiang)</t>
  </si>
  <si>
    <t xml:space="preserve">🚄 Day trip</t>
  </si>
  <si>
    <t xml:space="preserve">Wulong</t>
  </si>
  <si>
    <t xml:space="preserve">≈1–2 h each way</t>
  </si>
  <si>
    <t xml:space="preserve">Chengdu East</t>
  </si>
  <si>
    <t xml:space="preserve">≈1–1.5 h</t>
  </si>
  <si>
    <t xml:space="preserve">Chengdu (Xipu / West)</t>
  </si>
  <si>
    <t xml:space="preserve">Qingcheng Mountain</t>
  </si>
  <si>
    <t xml:space="preserve">≈1 h each way</t>
  </si>
  <si>
    <t xml:space="preserve">✈️ Flight HU469</t>
  </si>
  <si>
    <t xml:space="preserve">Chongqing (CKG)</t>
  </si>
  <si>
    <t xml:space="preserve">Dep 02:50 → arr ≈07:35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</si>
</sst>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"/>
    <numFmt numFmtId="166" formatCode="0"/>
    <numFmt numFmtId="167" formatCode="&quot;€ &quot;#,##0"/>
    <numFmt numFmtId="168" formatCode="ddd\ dd\ mmm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631"/>
      <name val="Arial"/>
      <family val="0"/>
      <charset val="1"/>
    </font>
    <font>
      <sz val="10"/>
      <color rgb="FF5665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.5"/>
      <color rgb="FF1B2631"/>
      <name val="Arial"/>
      <family val="0"/>
      <charset val="1"/>
    </font>
    <font>
      <b val="true"/>
      <sz val="10"/>
      <color rgb="FF7F8C8D"/>
      <name val="Arial"/>
      <family val="0"/>
      <charset val="1"/>
    </font>
    <font>
      <b val="true"/>
      <sz val="9.5"/>
      <color rgb="FF1B2631"/>
      <name val="Arial"/>
      <family val="0"/>
      <charset val="1"/>
    </font>
    <font>
      <b val="true"/>
      <sz val="10"/>
      <color rgb="FF1F6FB2"/>
      <name val="Arial"/>
      <family val="0"/>
      <charset val="1"/>
    </font>
    <font>
      <sz val="9.5"/>
      <color rgb="FF1B2631"/>
      <name val="Noto Sans CJK SC"/>
      <family val="2"/>
    </font>
    <font>
      <b val="true"/>
      <sz val="10"/>
      <color rgb="FFC0392B"/>
      <name val="Arial"/>
      <family val="0"/>
      <charset val="1"/>
    </font>
    <font>
      <b val="true"/>
      <sz val="10"/>
      <color rgb="FFD68910"/>
      <name val="Arial"/>
      <family val="0"/>
      <charset val="1"/>
    </font>
    <font>
      <b val="true"/>
      <sz val="10"/>
      <color rgb="FF2E8B57"/>
      <name val="Arial"/>
      <family val="0"/>
      <charset val="1"/>
    </font>
    <font>
      <b val="true"/>
      <sz val="10"/>
      <color rgb="FF7D3C98"/>
      <name val="Arial"/>
      <family val="0"/>
      <charset val="1"/>
    </font>
    <font>
      <b val="true"/>
      <sz val="10"/>
      <color rgb="FF148F77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631"/>
        <bgColor rgb="FF333300"/>
      </patternFill>
    </fill>
    <fill>
      <patternFill patternType="solid">
        <fgColor rgb="FFF2F3F4"/>
        <bgColor rgb="FFE8F1FA"/>
      </patternFill>
    </fill>
    <fill>
      <patternFill patternType="solid">
        <fgColor rgb="FFFFFFFF"/>
        <bgColor rgb="FFFBFCFC"/>
      </patternFill>
    </fill>
    <fill>
      <patternFill patternType="solid">
        <fgColor rgb="FFE8F1FA"/>
        <bgColor rgb="FFE3F4F1"/>
      </patternFill>
    </fill>
    <fill>
      <patternFill patternType="solid">
        <fgColor rgb="FFFBFCFC"/>
        <bgColor rgb="FFFFFFFF"/>
      </patternFill>
    </fill>
    <fill>
      <patternFill patternType="solid">
        <fgColor rgb="FFFBEAEA"/>
        <bgColor rgb="FFF2EAF7"/>
      </patternFill>
    </fill>
    <fill>
      <patternFill patternType="solid">
        <fgColor rgb="FFFEF5E7"/>
        <bgColor rgb="FFFDF3E1"/>
      </patternFill>
    </fill>
    <fill>
      <patternFill patternType="solid">
        <fgColor rgb="FFFDF3E1"/>
        <bgColor rgb="FFFEF5E7"/>
      </patternFill>
    </fill>
    <fill>
      <patternFill patternType="solid">
        <fgColor rgb="FFE7F5EC"/>
        <bgColor rgb="FFE3F4F1"/>
      </patternFill>
    </fill>
    <fill>
      <patternFill patternType="solid">
        <fgColor rgb="FFF2EAF7"/>
        <bgColor rgb="FFEAECEE"/>
      </patternFill>
    </fill>
    <fill>
      <patternFill patternType="solid">
        <fgColor rgb="FFE3F4F1"/>
        <bgColor rgb="FFE7F5EC"/>
      </patternFill>
    </fill>
    <fill>
      <patternFill patternType="solid">
        <fgColor rgb="FFEAECEE"/>
        <bgColor rgb="FFF2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B2631"/>
          <bgColor rgb="FF000000"/>
        </patternFill>
      </fill>
    </dxf>
    <dxf>
      <fill>
        <patternFill patternType="solid">
          <fgColor rgb="FFE3F4F1"/>
          <bgColor rgb="FF000000"/>
        </patternFill>
      </fill>
    </dxf>
    <dxf>
      <fill>
        <patternFill patternType="solid">
          <fgColor rgb="FFE7F5EC"/>
          <bgColor rgb="FF000000"/>
        </patternFill>
      </fill>
    </dxf>
    <dxf>
      <fill>
        <patternFill patternType="solid">
          <fgColor rgb="FFE8F1FA"/>
          <bgColor rgb="FF000000"/>
        </patternFill>
      </fill>
    </dxf>
    <dxf>
      <fill>
        <patternFill patternType="solid">
          <fgColor rgb="FFF2EAF7"/>
          <bgColor rgb="FF000000"/>
        </patternFill>
      </fill>
    </dxf>
    <dxf>
      <fill>
        <patternFill patternType="solid">
          <fgColor rgb="FFF2F3F4"/>
          <bgColor rgb="FF000000"/>
        </patternFill>
      </fill>
    </dxf>
    <dxf>
      <fill>
        <patternFill patternType="solid">
          <fgColor rgb="FFFBEAEA"/>
          <bgColor rgb="FF000000"/>
        </patternFill>
      </fill>
    </dxf>
    <dxf>
      <fill>
        <patternFill patternType="solid">
          <fgColor rgb="FFFDF3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48F77"/>
          <bgColor rgb="FF000000"/>
        </patternFill>
      </fill>
    </dxf>
    <dxf>
      <fill>
        <patternFill patternType="solid">
          <fgColor rgb="FF1F6FB2"/>
          <bgColor rgb="FF000000"/>
        </patternFill>
      </fill>
    </dxf>
    <dxf>
      <fill>
        <patternFill patternType="solid">
          <fgColor rgb="FF2E8B57"/>
          <bgColor rgb="FF000000"/>
        </patternFill>
      </fill>
    </dxf>
    <dxf>
      <fill>
        <patternFill patternType="solid">
          <fgColor rgb="FF7D3C98"/>
          <bgColor rgb="FF000000"/>
        </patternFill>
      </fill>
    </dxf>
    <dxf>
      <fill>
        <patternFill patternType="solid">
          <fgColor rgb="FF7F8C8D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68910"/>
          <bgColor rgb="FF000000"/>
        </patternFill>
      </fill>
    </dxf>
    <dxf>
      <fill>
        <patternFill patternType="solid">
          <fgColor rgb="FFFBFCFC"/>
          <bgColor rgb="FF000000"/>
        </patternFill>
      </fill>
    </dxf>
    <dxf>
      <fill>
        <patternFill patternType="solid">
          <fgColor rgb="FFFEF5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8F77"/>
      <rgbColor rgb="FFEAECEE"/>
      <rgbColor rgb="FF7F8C8D"/>
      <rgbColor rgb="FF9999FF"/>
      <rgbColor rgb="FF7D3C98"/>
      <rgbColor rgb="FFFDF3E1"/>
      <rgbColor rgb="FFE3F4F1"/>
      <rgbColor rgb="FF660066"/>
      <rgbColor rgb="FFFF8080"/>
      <rgbColor rgb="FF1F6FB2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5EC"/>
      <rgbColor rgb="FFE8F1FA"/>
      <rgbColor rgb="FFFEF5E7"/>
      <rgbColor rgb="FFF2EAF7"/>
      <rgbColor rgb="FFF2F3F4"/>
      <rgbColor rgb="FFFBFCFC"/>
      <rgbColor rgb="FFFBEAEA"/>
      <rgbColor rgb="FF3366FF"/>
      <rgbColor rgb="FF33CCCC"/>
      <rgbColor rgb="FF99CC00"/>
      <rgbColor rgb="FFFFCC00"/>
      <rgbColor rgb="FFD68910"/>
      <rgbColor rgb="FFFF6600"/>
      <rgbColor rgb="FF566573"/>
      <rgbColor rgb="FF969696"/>
      <rgbColor rgb="FF003366"/>
      <rgbColor rgb="FF2E8B57"/>
      <rgbColor rgb="FF003300"/>
      <rgbColor rgb="FF333300"/>
      <rgbColor rgb="FFC0392B"/>
      <rgbColor rgb="FF993366"/>
      <rgbColor rgb="FF333399"/>
      <rgbColor rgb="FF1B2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7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9" min="6" style="0" width="36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25.5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customFormat="false" ht="46.5" hidden="false" customHeight="true" outlineLevel="0" collapsed="false">
      <c r="A6" s="4" t="n">
        <v>46325</v>
      </c>
      <c r="B6" s="5" t="s">
        <v>11</v>
      </c>
      <c r="C6" s="6" t="s">
        <v>12</v>
      </c>
      <c r="D6" s="7" t="s">
        <v>13</v>
      </c>
      <c r="E6" s="8" t="s">
        <v>14</v>
      </c>
      <c r="F6" s="8" t="s">
        <v>15</v>
      </c>
      <c r="G6" s="8"/>
      <c r="H6" s="8"/>
      <c r="I6" s="8"/>
    </row>
    <row r="7" customFormat="false" ht="72.75" hidden="false" customHeight="true" outlineLevel="0" collapsed="false">
      <c r="A7" s="9" t="n">
        <v>46326</v>
      </c>
      <c r="B7" s="10" t="s">
        <v>16</v>
      </c>
      <c r="C7" s="11" t="s">
        <v>17</v>
      </c>
      <c r="D7" s="12" t="s">
        <v>18</v>
      </c>
      <c r="E7" s="13" t="s">
        <v>19</v>
      </c>
      <c r="F7" s="13" t="s">
        <v>20</v>
      </c>
      <c r="G7" s="13" t="s">
        <v>21</v>
      </c>
      <c r="H7" s="13" t="s">
        <v>22</v>
      </c>
      <c r="I7" s="13" t="s">
        <v>23</v>
      </c>
    </row>
    <row r="8" customFormat="false" ht="46.5" hidden="false" customHeight="true" outlineLevel="0" collapsed="false">
      <c r="A8" s="9" t="n">
        <v>46327</v>
      </c>
      <c r="B8" s="10" t="s">
        <v>24</v>
      </c>
      <c r="C8" s="11" t="s">
        <v>17</v>
      </c>
      <c r="D8" s="7" t="s">
        <v>25</v>
      </c>
      <c r="E8" s="8" t="s">
        <v>19</v>
      </c>
      <c r="F8" s="8" t="s">
        <v>26</v>
      </c>
      <c r="G8" s="8" t="s">
        <v>27</v>
      </c>
      <c r="H8" s="8" t="s">
        <v>28</v>
      </c>
      <c r="I8" s="8" t="s">
        <v>29</v>
      </c>
    </row>
    <row r="9" customFormat="false" ht="60" hidden="false" customHeight="true" outlineLevel="0" collapsed="false">
      <c r="A9" s="9" t="n">
        <v>46328</v>
      </c>
      <c r="B9" s="10" t="s">
        <v>30</v>
      </c>
      <c r="C9" s="11" t="s">
        <v>17</v>
      </c>
      <c r="D9" s="12" t="s">
        <v>31</v>
      </c>
      <c r="E9" s="13" t="s">
        <v>19</v>
      </c>
      <c r="F9" s="13" t="s">
        <v>32</v>
      </c>
      <c r="G9" s="13" t="s">
        <v>33</v>
      </c>
      <c r="H9" s="13" t="s">
        <v>34</v>
      </c>
      <c r="I9" s="13" t="s">
        <v>35</v>
      </c>
    </row>
    <row r="10" customFormat="false" ht="46.5" hidden="false" customHeight="true" outlineLevel="0" collapsed="false">
      <c r="A10" s="14" t="n">
        <v>46329</v>
      </c>
      <c r="B10" s="15" t="s">
        <v>36</v>
      </c>
      <c r="C10" s="16" t="s">
        <v>37</v>
      </c>
      <c r="D10" s="7" t="s">
        <v>38</v>
      </c>
      <c r="E10" s="8" t="s">
        <v>39</v>
      </c>
      <c r="F10" s="8" t="s">
        <v>40</v>
      </c>
      <c r="G10" s="8" t="s">
        <v>41</v>
      </c>
      <c r="H10" s="8" t="s">
        <v>42</v>
      </c>
      <c r="I10" s="8" t="s">
        <v>43</v>
      </c>
    </row>
    <row r="11" customFormat="false" ht="60" hidden="false" customHeight="true" outlineLevel="0" collapsed="false">
      <c r="A11" s="14" t="n">
        <v>46330</v>
      </c>
      <c r="B11" s="15" t="s">
        <v>44</v>
      </c>
      <c r="C11" s="16" t="s">
        <v>37</v>
      </c>
      <c r="D11" s="17" t="s">
        <v>45</v>
      </c>
      <c r="E11" s="18" t="s">
        <v>39</v>
      </c>
      <c r="F11" s="18" t="s">
        <v>46</v>
      </c>
      <c r="G11" s="18" t="s">
        <v>47</v>
      </c>
      <c r="H11" s="18" t="s">
        <v>48</v>
      </c>
      <c r="I11" s="18" t="s">
        <v>49</v>
      </c>
    </row>
    <row r="12" customFormat="false" ht="60" hidden="false" customHeight="true" outlineLevel="0" collapsed="false">
      <c r="A12" s="14" t="n">
        <v>46331</v>
      </c>
      <c r="B12" s="15" t="s">
        <v>50</v>
      </c>
      <c r="C12" s="16" t="s">
        <v>37</v>
      </c>
      <c r="D12" s="7" t="s">
        <v>51</v>
      </c>
      <c r="E12" s="8" t="s">
        <v>39</v>
      </c>
      <c r="F12" s="8" t="s">
        <v>52</v>
      </c>
      <c r="G12" s="8" t="s">
        <v>53</v>
      </c>
      <c r="H12" s="8" t="s">
        <v>54</v>
      </c>
      <c r="I12" s="8" t="s">
        <v>55</v>
      </c>
    </row>
    <row r="13" customFormat="false" ht="72.75" hidden="false" customHeight="true" outlineLevel="0" collapsed="false">
      <c r="A13" s="14" t="n">
        <v>46332</v>
      </c>
      <c r="B13" s="15" t="s">
        <v>11</v>
      </c>
      <c r="C13" s="16" t="s">
        <v>37</v>
      </c>
      <c r="D13" s="12" t="s">
        <v>56</v>
      </c>
      <c r="E13" s="13" t="s">
        <v>39</v>
      </c>
      <c r="F13" s="13" t="s">
        <v>57</v>
      </c>
      <c r="G13" s="13" t="s">
        <v>58</v>
      </c>
      <c r="H13" s="13" t="s">
        <v>59</v>
      </c>
      <c r="I13" s="13" t="s">
        <v>60</v>
      </c>
    </row>
    <row r="14" customFormat="false" ht="46.5" hidden="false" customHeight="true" outlineLevel="0" collapsed="false">
      <c r="A14" s="14" t="n">
        <v>46333</v>
      </c>
      <c r="B14" s="15" t="s">
        <v>16</v>
      </c>
      <c r="C14" s="16" t="s">
        <v>37</v>
      </c>
      <c r="D14" s="7" t="s">
        <v>61</v>
      </c>
      <c r="E14" s="8" t="s">
        <v>39</v>
      </c>
      <c r="F14" s="8" t="s">
        <v>62</v>
      </c>
      <c r="G14" s="8" t="s">
        <v>63</v>
      </c>
      <c r="H14" s="8" t="s">
        <v>64</v>
      </c>
      <c r="I14" s="8" t="s">
        <v>65</v>
      </c>
    </row>
    <row r="15" customFormat="false" ht="60" hidden="false" customHeight="true" outlineLevel="0" collapsed="false">
      <c r="A15" s="19" t="n">
        <v>46334</v>
      </c>
      <c r="B15" s="20" t="s">
        <v>24</v>
      </c>
      <c r="C15" s="21" t="s">
        <v>66</v>
      </c>
      <c r="D15" s="12" t="s">
        <v>67</v>
      </c>
      <c r="E15" s="13" t="s">
        <v>68</v>
      </c>
      <c r="F15" s="13" t="s">
        <v>69</v>
      </c>
      <c r="G15" s="13" t="s">
        <v>70</v>
      </c>
      <c r="H15" s="13" t="s">
        <v>71</v>
      </c>
      <c r="I15" s="13" t="s">
        <v>72</v>
      </c>
    </row>
    <row r="16" customFormat="false" ht="46.5" hidden="false" customHeight="true" outlineLevel="0" collapsed="false">
      <c r="A16" s="19" t="n">
        <v>46335</v>
      </c>
      <c r="B16" s="20" t="s">
        <v>30</v>
      </c>
      <c r="C16" s="21" t="s">
        <v>73</v>
      </c>
      <c r="D16" s="7" t="s">
        <v>74</v>
      </c>
      <c r="E16" s="8" t="s">
        <v>68</v>
      </c>
      <c r="F16" s="8" t="s">
        <v>75</v>
      </c>
      <c r="G16" s="8" t="s">
        <v>76</v>
      </c>
      <c r="H16" s="8" t="s">
        <v>77</v>
      </c>
      <c r="I16" s="8" t="s">
        <v>78</v>
      </c>
    </row>
    <row r="17" customFormat="false" ht="46.5" hidden="false" customHeight="true" outlineLevel="0" collapsed="false">
      <c r="A17" s="19" t="n">
        <v>46336</v>
      </c>
      <c r="B17" s="20" t="s">
        <v>36</v>
      </c>
      <c r="C17" s="21" t="s">
        <v>73</v>
      </c>
      <c r="D17" s="12" t="s">
        <v>79</v>
      </c>
      <c r="E17" s="13" t="s">
        <v>68</v>
      </c>
      <c r="F17" s="13" t="s">
        <v>80</v>
      </c>
      <c r="G17" s="13" t="s">
        <v>81</v>
      </c>
      <c r="H17" s="13" t="s">
        <v>82</v>
      </c>
      <c r="I17" s="13" t="s">
        <v>83</v>
      </c>
    </row>
    <row r="18" customFormat="false" ht="72.75" hidden="false" customHeight="true" outlineLevel="0" collapsed="false">
      <c r="A18" s="22" t="n">
        <v>46337</v>
      </c>
      <c r="B18" s="23" t="s">
        <v>44</v>
      </c>
      <c r="C18" s="24" t="s">
        <v>84</v>
      </c>
      <c r="D18" s="7" t="s">
        <v>85</v>
      </c>
      <c r="E18" s="8" t="s">
        <v>86</v>
      </c>
      <c r="F18" s="8" t="s">
        <v>87</v>
      </c>
      <c r="G18" s="8" t="s">
        <v>88</v>
      </c>
      <c r="H18" s="8" t="s">
        <v>89</v>
      </c>
      <c r="I18" s="8" t="s">
        <v>90</v>
      </c>
    </row>
    <row r="19" customFormat="false" ht="72.75" hidden="false" customHeight="true" outlineLevel="0" collapsed="false">
      <c r="A19" s="22" t="n">
        <v>46338</v>
      </c>
      <c r="B19" s="23" t="s">
        <v>50</v>
      </c>
      <c r="C19" s="24" t="s">
        <v>91</v>
      </c>
      <c r="D19" s="12" t="s">
        <v>92</v>
      </c>
      <c r="E19" s="13" t="s">
        <v>86</v>
      </c>
      <c r="F19" s="13" t="s">
        <v>93</v>
      </c>
      <c r="G19" s="13" t="s">
        <v>94</v>
      </c>
      <c r="H19" s="13" t="s">
        <v>95</v>
      </c>
      <c r="I19" s="13" t="s">
        <v>96</v>
      </c>
    </row>
    <row r="20" customFormat="false" ht="60" hidden="false" customHeight="true" outlineLevel="0" collapsed="false">
      <c r="A20" s="22" t="n">
        <v>46339</v>
      </c>
      <c r="B20" s="23" t="s">
        <v>11</v>
      </c>
      <c r="C20" s="24" t="s">
        <v>91</v>
      </c>
      <c r="D20" s="7" t="s">
        <v>97</v>
      </c>
      <c r="E20" s="8" t="s">
        <v>86</v>
      </c>
      <c r="F20" s="8" t="s">
        <v>98</v>
      </c>
      <c r="G20" s="8" t="s">
        <v>99</v>
      </c>
      <c r="H20" s="8" t="s">
        <v>100</v>
      </c>
      <c r="I20" s="8" t="s">
        <v>101</v>
      </c>
    </row>
    <row r="21" customFormat="false" ht="46.5" hidden="false" customHeight="true" outlineLevel="0" collapsed="false">
      <c r="A21" s="25" t="n">
        <v>46340</v>
      </c>
      <c r="B21" s="26" t="s">
        <v>16</v>
      </c>
      <c r="C21" s="27" t="s">
        <v>102</v>
      </c>
      <c r="D21" s="12" t="s">
        <v>103</v>
      </c>
      <c r="E21" s="13" t="s">
        <v>104</v>
      </c>
      <c r="F21" s="13" t="s">
        <v>105</v>
      </c>
      <c r="G21" s="13" t="s">
        <v>106</v>
      </c>
      <c r="H21" s="13" t="s">
        <v>107</v>
      </c>
      <c r="I21" s="13" t="s">
        <v>108</v>
      </c>
    </row>
    <row r="22" customFormat="false" ht="46.5" hidden="false" customHeight="true" outlineLevel="0" collapsed="false">
      <c r="A22" s="25" t="n">
        <v>46341</v>
      </c>
      <c r="B22" s="26" t="s">
        <v>24</v>
      </c>
      <c r="C22" s="27" t="s">
        <v>109</v>
      </c>
      <c r="D22" s="7" t="s">
        <v>110</v>
      </c>
      <c r="E22" s="8" t="s">
        <v>104</v>
      </c>
      <c r="F22" s="28" t="s">
        <v>111</v>
      </c>
      <c r="G22" s="8" t="s">
        <v>112</v>
      </c>
      <c r="H22" s="8" t="s">
        <v>113</v>
      </c>
      <c r="I22" s="8" t="s">
        <v>114</v>
      </c>
    </row>
    <row r="23" customFormat="false" ht="46.5" hidden="false" customHeight="true" outlineLevel="0" collapsed="false">
      <c r="A23" s="25" t="n">
        <v>46342</v>
      </c>
      <c r="B23" s="26" t="s">
        <v>30</v>
      </c>
      <c r="C23" s="27" t="s">
        <v>109</v>
      </c>
      <c r="D23" s="12" t="s">
        <v>115</v>
      </c>
      <c r="E23" s="13" t="s">
        <v>104</v>
      </c>
      <c r="F23" s="13" t="s">
        <v>116</v>
      </c>
      <c r="G23" s="13" t="s">
        <v>117</v>
      </c>
      <c r="H23" s="13" t="s">
        <v>118</v>
      </c>
      <c r="I23" s="13" t="s">
        <v>119</v>
      </c>
    </row>
    <row r="24" customFormat="false" ht="46.5" hidden="false" customHeight="true" outlineLevel="0" collapsed="false">
      <c r="A24" s="25" t="n">
        <v>46343</v>
      </c>
      <c r="B24" s="26" t="s">
        <v>36</v>
      </c>
      <c r="C24" s="27" t="s">
        <v>109</v>
      </c>
      <c r="D24" s="7" t="s">
        <v>120</v>
      </c>
      <c r="E24" s="8" t="s">
        <v>104</v>
      </c>
      <c r="F24" s="8" t="s">
        <v>121</v>
      </c>
      <c r="G24" s="8" t="s">
        <v>122</v>
      </c>
      <c r="H24" s="8" t="s">
        <v>123</v>
      </c>
      <c r="I24" s="8" t="s">
        <v>124</v>
      </c>
    </row>
    <row r="25" customFormat="false" ht="60" hidden="false" customHeight="true" outlineLevel="0" collapsed="false">
      <c r="A25" s="29" t="n">
        <v>46344</v>
      </c>
      <c r="B25" s="30" t="s">
        <v>44</v>
      </c>
      <c r="C25" s="31" t="s">
        <v>125</v>
      </c>
      <c r="D25" s="12" t="s">
        <v>126</v>
      </c>
      <c r="E25" s="13" t="s">
        <v>127</v>
      </c>
      <c r="F25" s="13" t="s">
        <v>128</v>
      </c>
      <c r="G25" s="13" t="s">
        <v>129</v>
      </c>
      <c r="H25" s="13" t="s">
        <v>130</v>
      </c>
      <c r="I25" s="13" t="s">
        <v>131</v>
      </c>
    </row>
    <row r="26" customFormat="false" ht="72.75" hidden="false" customHeight="true" outlineLevel="0" collapsed="false">
      <c r="A26" s="29" t="n">
        <v>46345</v>
      </c>
      <c r="B26" s="30" t="s">
        <v>50</v>
      </c>
      <c r="C26" s="31" t="s">
        <v>132</v>
      </c>
      <c r="D26" s="7" t="s">
        <v>133</v>
      </c>
      <c r="E26" s="8" t="s">
        <v>127</v>
      </c>
      <c r="F26" s="8" t="s">
        <v>134</v>
      </c>
      <c r="G26" s="8" t="s">
        <v>135</v>
      </c>
      <c r="H26" s="8" t="s">
        <v>136</v>
      </c>
      <c r="I26" s="8" t="s">
        <v>137</v>
      </c>
    </row>
    <row r="27" customFormat="false" ht="46.5" hidden="false" customHeight="true" outlineLevel="0" collapsed="false">
      <c r="A27" s="29" t="n">
        <v>46346</v>
      </c>
      <c r="B27" s="30" t="s">
        <v>11</v>
      </c>
      <c r="C27" s="31" t="s">
        <v>132</v>
      </c>
      <c r="D27" s="12" t="s">
        <v>138</v>
      </c>
      <c r="E27" s="13" t="s">
        <v>127</v>
      </c>
      <c r="F27" s="13" t="s">
        <v>139</v>
      </c>
      <c r="G27" s="13" t="s">
        <v>140</v>
      </c>
      <c r="H27" s="13" t="s">
        <v>141</v>
      </c>
      <c r="I27" s="13" t="s">
        <v>142</v>
      </c>
    </row>
    <row r="28" customFormat="false" ht="60" hidden="false" customHeight="true" outlineLevel="0" collapsed="false">
      <c r="A28" s="25" t="n">
        <v>46347</v>
      </c>
      <c r="B28" s="26" t="s">
        <v>16</v>
      </c>
      <c r="C28" s="27" t="s">
        <v>143</v>
      </c>
      <c r="D28" s="7" t="s">
        <v>144</v>
      </c>
      <c r="E28" s="8" t="s">
        <v>145</v>
      </c>
      <c r="F28" s="8" t="s">
        <v>146</v>
      </c>
      <c r="G28" s="8" t="s">
        <v>147</v>
      </c>
      <c r="H28" s="8" t="s">
        <v>148</v>
      </c>
      <c r="I28" s="8" t="s">
        <v>149</v>
      </c>
    </row>
    <row r="29" customFormat="false" ht="72.75" hidden="false" customHeight="true" outlineLevel="0" collapsed="false">
      <c r="A29" s="25" t="n">
        <v>46348</v>
      </c>
      <c r="B29" s="26" t="s">
        <v>24</v>
      </c>
      <c r="C29" s="27" t="s">
        <v>109</v>
      </c>
      <c r="D29" s="12" t="s">
        <v>150</v>
      </c>
      <c r="E29" s="13" t="s">
        <v>145</v>
      </c>
      <c r="F29" s="13" t="s">
        <v>151</v>
      </c>
      <c r="G29" s="13" t="s">
        <v>152</v>
      </c>
      <c r="H29" s="13" t="s">
        <v>153</v>
      </c>
      <c r="I29" s="13" t="s">
        <v>154</v>
      </c>
    </row>
    <row r="30" customFormat="false" ht="33.75" hidden="false" customHeight="true" outlineLevel="0" collapsed="false">
      <c r="A30" s="4" t="n">
        <v>46349</v>
      </c>
      <c r="B30" s="5" t="s">
        <v>30</v>
      </c>
      <c r="C30" s="6" t="s">
        <v>12</v>
      </c>
      <c r="D30" s="7" t="s">
        <v>155</v>
      </c>
      <c r="E30" s="8" t="s">
        <v>14</v>
      </c>
      <c r="F30" s="8" t="s">
        <v>15</v>
      </c>
      <c r="G30" s="8" t="s">
        <v>156</v>
      </c>
      <c r="H30" s="8" t="s">
        <v>157</v>
      </c>
      <c r="I30" s="8" t="s">
        <v>158</v>
      </c>
    </row>
  </sheetData>
  <autoFilter ref="A5:I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48"/>
  </cols>
  <sheetData>
    <row r="1" customFormat="false" ht="22.0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4" customFormat="false" ht="24" hidden="false" customHeight="true" outlineLevel="0" collapsed="false">
      <c r="A4" s="32" t="s">
        <v>4</v>
      </c>
      <c r="B4" s="32" t="s">
        <v>6</v>
      </c>
      <c r="C4" s="33" t="s">
        <v>161</v>
      </c>
      <c r="D4" s="33" t="s">
        <v>162</v>
      </c>
      <c r="E4" s="33" t="s">
        <v>163</v>
      </c>
      <c r="F4" s="33" t="s">
        <v>164</v>
      </c>
      <c r="G4" s="33" t="s">
        <v>165</v>
      </c>
      <c r="H4" s="32" t="s">
        <v>166</v>
      </c>
    </row>
    <row r="5" customFormat="false" ht="30" hidden="false" customHeight="true" outlineLevel="0" collapsed="false">
      <c r="A5" s="34" t="s">
        <v>17</v>
      </c>
      <c r="B5" s="35" t="s">
        <v>19</v>
      </c>
      <c r="C5" s="36" t="n">
        <v>46326</v>
      </c>
      <c r="D5" s="36" t="n">
        <v>46329</v>
      </c>
      <c r="E5" s="37" t="n">
        <f aca="false">D5-C5</f>
        <v>3</v>
      </c>
      <c r="F5" s="38" t="n">
        <v>215</v>
      </c>
      <c r="G5" s="38" t="n">
        <f aca="false">IFERROR(F5/E5,"")</f>
        <v>71.6666666666667</v>
      </c>
      <c r="H5" s="35" t="s">
        <v>167</v>
      </c>
    </row>
    <row r="6" customFormat="false" ht="30" hidden="false" customHeight="true" outlineLevel="0" collapsed="false">
      <c r="A6" s="39" t="s">
        <v>37</v>
      </c>
      <c r="B6" s="35" t="s">
        <v>39</v>
      </c>
      <c r="C6" s="36" t="n">
        <v>46329</v>
      </c>
      <c r="D6" s="36" t="n">
        <v>46334</v>
      </c>
      <c r="E6" s="37" t="n">
        <f aca="false">D6-C6</f>
        <v>5</v>
      </c>
      <c r="F6" s="38" t="n">
        <v>921</v>
      </c>
      <c r="G6" s="38" t="n">
        <f aca="false">IFERROR(F6/E6,"")</f>
        <v>184.2</v>
      </c>
      <c r="H6" s="35" t="s">
        <v>168</v>
      </c>
    </row>
    <row r="7" customFormat="false" ht="30" hidden="false" customHeight="true" outlineLevel="0" collapsed="false">
      <c r="A7" s="40" t="s">
        <v>73</v>
      </c>
      <c r="B7" s="35" t="s">
        <v>68</v>
      </c>
      <c r="C7" s="36" t="n">
        <v>46334</v>
      </c>
      <c r="D7" s="36" t="n">
        <v>46337</v>
      </c>
      <c r="E7" s="37" t="n">
        <f aca="false">D7-C7</f>
        <v>3</v>
      </c>
      <c r="F7" s="38" t="n">
        <v>259</v>
      </c>
      <c r="G7" s="38" t="n">
        <f aca="false">IFERROR(F7/E7,"")</f>
        <v>86.3333333333333</v>
      </c>
      <c r="H7" s="35" t="s">
        <v>169</v>
      </c>
    </row>
    <row r="8" customFormat="false" ht="30" hidden="false" customHeight="true" outlineLevel="0" collapsed="false">
      <c r="A8" s="41" t="s">
        <v>91</v>
      </c>
      <c r="B8" s="35" t="s">
        <v>86</v>
      </c>
      <c r="C8" s="36" t="n">
        <v>46337</v>
      </c>
      <c r="D8" s="36" t="n">
        <v>46340</v>
      </c>
      <c r="E8" s="37" t="n">
        <f aca="false">D8-C8</f>
        <v>3</v>
      </c>
      <c r="F8" s="38" t="n">
        <v>355</v>
      </c>
      <c r="G8" s="38" t="n">
        <f aca="false">IFERROR(F8/E8,"")</f>
        <v>118.333333333333</v>
      </c>
      <c r="H8" s="35" t="s">
        <v>170</v>
      </c>
    </row>
    <row r="9" customFormat="false" ht="30" hidden="false" customHeight="true" outlineLevel="0" collapsed="false">
      <c r="A9" s="42" t="s">
        <v>109</v>
      </c>
      <c r="B9" s="35" t="s">
        <v>104</v>
      </c>
      <c r="C9" s="36" t="n">
        <v>46340</v>
      </c>
      <c r="D9" s="36" t="n">
        <v>46344</v>
      </c>
      <c r="E9" s="37" t="n">
        <f aca="false">D9-C9</f>
        <v>4</v>
      </c>
      <c r="F9" s="38" t="n">
        <v>305</v>
      </c>
      <c r="G9" s="38" t="n">
        <f aca="false">IFERROR(F9/E9,"")</f>
        <v>76.25</v>
      </c>
      <c r="H9" s="35" t="s">
        <v>171</v>
      </c>
    </row>
    <row r="10" customFormat="false" ht="30" hidden="false" customHeight="true" outlineLevel="0" collapsed="false">
      <c r="A10" s="43" t="s">
        <v>132</v>
      </c>
      <c r="B10" s="35" t="s">
        <v>127</v>
      </c>
      <c r="C10" s="36" t="n">
        <v>46344</v>
      </c>
      <c r="D10" s="36" t="n">
        <v>46347</v>
      </c>
      <c r="E10" s="37" t="n">
        <f aca="false">D10-C10</f>
        <v>3</v>
      </c>
      <c r="F10" s="38" t="n">
        <v>174</v>
      </c>
      <c r="G10" s="38" t="n">
        <f aca="false">IFERROR(F10/E10,"")</f>
        <v>58</v>
      </c>
      <c r="H10" s="35" t="s">
        <v>172</v>
      </c>
    </row>
    <row r="11" customFormat="false" ht="30" hidden="false" customHeight="true" outlineLevel="0" collapsed="false">
      <c r="A11" s="42" t="s">
        <v>109</v>
      </c>
      <c r="B11" s="35" t="s">
        <v>145</v>
      </c>
      <c r="C11" s="36" t="n">
        <v>46347</v>
      </c>
      <c r="D11" s="36" t="n">
        <v>46349</v>
      </c>
      <c r="E11" s="37" t="n">
        <f aca="false">D11-C11</f>
        <v>2</v>
      </c>
      <c r="F11" s="38" t="n">
        <v>193</v>
      </c>
      <c r="G11" s="38" t="n">
        <f aca="false">IFERROR(F11/E11,"")</f>
        <v>96.5</v>
      </c>
      <c r="H11" s="35" t="s">
        <v>173</v>
      </c>
    </row>
    <row r="12" customFormat="false" ht="25.5" hidden="false" customHeight="true" outlineLevel="0" collapsed="false">
      <c r="A12" s="44" t="s">
        <v>174</v>
      </c>
      <c r="B12" s="44"/>
      <c r="C12" s="45"/>
      <c r="D12" s="45"/>
      <c r="E12" s="46" t="n">
        <f aca="false">SUM(E5:E11)</f>
        <v>23</v>
      </c>
      <c r="F12" s="47" t="n">
        <f aca="false">SUM(F5:F11)</f>
        <v>2422</v>
      </c>
      <c r="G12" s="47" t="n">
        <f aca="false">F12/E12</f>
        <v>105.304347826087</v>
      </c>
      <c r="H12" s="44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4" min="3" style="0" width="30"/>
    <col collapsed="false" customWidth="true" hidden="false" outlineLevel="0" max="5" min="5" style="0" width="34"/>
    <col collapsed="false" customWidth="true" hidden="false" outlineLevel="0" max="6" min="6" style="0" width="11"/>
  </cols>
  <sheetData>
    <row r="1" customFormat="false" ht="22.0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2" t="s">
        <v>177</v>
      </c>
    </row>
    <row r="4" customFormat="false" ht="15" hidden="false" customHeight="false" outlineLevel="0" collapsed="false">
      <c r="A4" s="48" t="s">
        <v>2</v>
      </c>
      <c r="B4" s="48" t="s">
        <v>178</v>
      </c>
      <c r="C4" s="48" t="s">
        <v>179</v>
      </c>
      <c r="D4" s="48" t="s">
        <v>180</v>
      </c>
      <c r="E4" s="48" t="s">
        <v>181</v>
      </c>
      <c r="F4" s="48" t="s">
        <v>182</v>
      </c>
    </row>
    <row r="5" customFormat="false" ht="21.75" hidden="false" customHeight="true" outlineLevel="0" collapsed="false">
      <c r="A5" s="49" t="n">
        <v>46325</v>
      </c>
      <c r="B5" s="50" t="s">
        <v>183</v>
      </c>
      <c r="C5" s="50" t="s">
        <v>184</v>
      </c>
      <c r="D5" s="50" t="s">
        <v>185</v>
      </c>
      <c r="E5" s="50" t="s">
        <v>186</v>
      </c>
      <c r="F5" s="51"/>
    </row>
    <row r="6" customFormat="false" ht="21.75" hidden="false" customHeight="true" outlineLevel="0" collapsed="false">
      <c r="A6" s="52" t="n">
        <v>46326</v>
      </c>
      <c r="B6" s="53" t="s">
        <v>187</v>
      </c>
      <c r="C6" s="53" t="s">
        <v>185</v>
      </c>
      <c r="D6" s="53" t="s">
        <v>188</v>
      </c>
      <c r="E6" s="53" t="s">
        <v>189</v>
      </c>
      <c r="F6" s="54"/>
    </row>
    <row r="7" customFormat="false" ht="21.75" hidden="false" customHeight="true" outlineLevel="0" collapsed="false">
      <c r="A7" s="49" t="n">
        <v>46329</v>
      </c>
      <c r="B7" s="50" t="s">
        <v>190</v>
      </c>
      <c r="C7" s="50" t="s">
        <v>191</v>
      </c>
      <c r="D7" s="50" t="s">
        <v>192</v>
      </c>
      <c r="E7" s="50" t="s">
        <v>193</v>
      </c>
      <c r="F7" s="51"/>
    </row>
    <row r="8" customFormat="false" ht="21.75" hidden="false" customHeight="true" outlineLevel="0" collapsed="false">
      <c r="A8" s="52" t="n">
        <v>46334</v>
      </c>
      <c r="B8" s="53" t="s">
        <v>190</v>
      </c>
      <c r="C8" s="53" t="s">
        <v>192</v>
      </c>
      <c r="D8" s="53" t="s">
        <v>194</v>
      </c>
      <c r="E8" s="53" t="s">
        <v>195</v>
      </c>
      <c r="F8" s="54"/>
    </row>
    <row r="9" customFormat="false" ht="21.75" hidden="false" customHeight="true" outlineLevel="0" collapsed="false">
      <c r="A9" s="49" t="n">
        <v>46337</v>
      </c>
      <c r="B9" s="50" t="s">
        <v>190</v>
      </c>
      <c r="C9" s="50" t="s">
        <v>194</v>
      </c>
      <c r="D9" s="50" t="s">
        <v>196</v>
      </c>
      <c r="E9" s="50" t="s">
        <v>197</v>
      </c>
      <c r="F9" s="51"/>
    </row>
    <row r="10" customFormat="false" ht="21.75" hidden="false" customHeight="true" outlineLevel="0" collapsed="false">
      <c r="A10" s="52" t="n">
        <v>46340</v>
      </c>
      <c r="B10" s="53" t="s">
        <v>190</v>
      </c>
      <c r="C10" s="53" t="s">
        <v>196</v>
      </c>
      <c r="D10" s="53" t="s">
        <v>109</v>
      </c>
      <c r="E10" s="53" t="s">
        <v>198</v>
      </c>
      <c r="F10" s="54"/>
    </row>
    <row r="11" customFormat="false" ht="21.75" hidden="false" customHeight="true" outlineLevel="0" collapsed="false">
      <c r="A11" s="49" t="n">
        <v>46342</v>
      </c>
      <c r="B11" s="50" t="s">
        <v>199</v>
      </c>
      <c r="C11" s="50" t="s">
        <v>109</v>
      </c>
      <c r="D11" s="50" t="s">
        <v>200</v>
      </c>
      <c r="E11" s="50" t="s">
        <v>201</v>
      </c>
      <c r="F11" s="51"/>
    </row>
    <row r="12" customFormat="false" ht="21.75" hidden="false" customHeight="true" outlineLevel="0" collapsed="false">
      <c r="A12" s="52" t="n">
        <v>46344</v>
      </c>
      <c r="B12" s="53" t="s">
        <v>190</v>
      </c>
      <c r="C12" s="53" t="s">
        <v>109</v>
      </c>
      <c r="D12" s="53" t="s">
        <v>202</v>
      </c>
      <c r="E12" s="53" t="s">
        <v>203</v>
      </c>
      <c r="F12" s="54"/>
    </row>
    <row r="13" customFormat="false" ht="21.75" hidden="false" customHeight="true" outlineLevel="0" collapsed="false">
      <c r="A13" s="49" t="n">
        <v>46346</v>
      </c>
      <c r="B13" s="50" t="s">
        <v>199</v>
      </c>
      <c r="C13" s="50" t="s">
        <v>204</v>
      </c>
      <c r="D13" s="50" t="s">
        <v>205</v>
      </c>
      <c r="E13" s="50" t="s">
        <v>206</v>
      </c>
      <c r="F13" s="51"/>
    </row>
    <row r="14" customFormat="false" ht="21.75" hidden="false" customHeight="true" outlineLevel="0" collapsed="false">
      <c r="A14" s="52" t="n">
        <v>46347</v>
      </c>
      <c r="B14" s="53" t="s">
        <v>190</v>
      </c>
      <c r="C14" s="53" t="s">
        <v>202</v>
      </c>
      <c r="D14" s="53" t="s">
        <v>109</v>
      </c>
      <c r="E14" s="53" t="s">
        <v>203</v>
      </c>
      <c r="F14" s="54"/>
    </row>
    <row r="15" customFormat="false" ht="21.75" hidden="false" customHeight="true" outlineLevel="0" collapsed="false">
      <c r="A15" s="49" t="n">
        <v>46349</v>
      </c>
      <c r="B15" s="50" t="s">
        <v>207</v>
      </c>
      <c r="C15" s="50" t="s">
        <v>208</v>
      </c>
      <c r="D15" s="50" t="s">
        <v>184</v>
      </c>
      <c r="E15" s="50" t="s">
        <v>209</v>
      </c>
      <c r="F15" s="5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2026-10-27T10:27:48Z</dcterms:created>
  <dc:creator>openpyxl</dc:creator>
  <dc:description/>
  <dc:language>en-US</dc:language>
  <cp:lastModifiedBy/>
  <dcterms:modified xsi:type="dcterms:W3CDTF">2026-10-27T10:27:48Z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